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o\Documents\"/>
    </mc:Choice>
  </mc:AlternateContent>
  <xr:revisionPtr revIDLastSave="0" documentId="13_ncr:1_{C73187A5-2F53-4BDE-ABA7-D226ABBF029A}" xr6:coauthVersionLast="47" xr6:coauthVersionMax="47" xr10:uidLastSave="{00000000-0000-0000-0000-000000000000}"/>
  <bookViews>
    <workbookView xWindow="-120" yWindow="-120" windowWidth="29040" windowHeight="15840" xr2:uid="{B0FCF318-79F9-4554-B571-C76AA713061F}"/>
  </bookViews>
  <sheets>
    <sheet name="CONTROLE" sheetId="1" r:id="rId1"/>
    <sheet name="APOIO" sheetId="2" r:id="rId2"/>
  </sheets>
  <definedNames>
    <definedName name="aporte_mensal">CONTROLE!$C$11</definedName>
    <definedName name="patrimonio">CONTROLE!$C$14</definedName>
    <definedName name="qd_meses">CONTROLE!$C$12</definedName>
    <definedName name="rend_carteira">CONTROLE!$D$7</definedName>
    <definedName name="salario">CONTROLE!$D$6</definedName>
    <definedName name="sug_invest">CONTROLE!$D$8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1" l="1"/>
  <c r="D31" i="1" s="1"/>
  <c r="C32" i="1"/>
  <c r="D32" i="1" s="1"/>
  <c r="C33" i="1"/>
  <c r="D33" i="1" s="1"/>
  <c r="C34" i="1"/>
  <c r="D34" i="1" s="1"/>
  <c r="C35" i="1"/>
  <c r="D35" i="1" s="1"/>
  <c r="C30" i="1"/>
  <c r="D30" i="1" s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4" i="2"/>
  <c r="C27" i="1"/>
  <c r="D20" i="1"/>
  <c r="D21" i="1"/>
  <c r="D22" i="1"/>
  <c r="D23" i="1"/>
  <c r="D24" i="1"/>
  <c r="D19" i="1"/>
  <c r="D8" i="1"/>
  <c r="C24" i="1"/>
  <c r="C20" i="1"/>
  <c r="C21" i="1"/>
  <c r="C22" i="1"/>
  <c r="C23" i="1"/>
  <c r="C19" i="1"/>
  <c r="C14" i="1"/>
  <c r="C15" i="1" s="1"/>
  <c r="D36" i="1" l="1"/>
</calcChain>
</file>

<file path=xl/sharedStrings.xml><?xml version="1.0" encoding="utf-8"?>
<sst xmlns="http://schemas.openxmlformats.org/spreadsheetml/2006/main" count="67" uniqueCount="32">
  <si>
    <t>Patrimônio acumulado</t>
  </si>
  <si>
    <t>Dividendos Mensais</t>
  </si>
  <si>
    <t>INVESTIMENTOS MENSAIS</t>
  </si>
  <si>
    <t>Por quantos meses?</t>
  </si>
  <si>
    <t>Taxa de rendimento mensal?</t>
  </si>
  <si>
    <t>Quanto investir por mês?</t>
  </si>
  <si>
    <t>Quanto em (anos):</t>
  </si>
  <si>
    <t>outro (insira aqui)</t>
  </si>
  <si>
    <t>CENÁRIOS</t>
  </si>
  <si>
    <t>Dividendos</t>
  </si>
  <si>
    <t>CONFIGURAÇÕES</t>
  </si>
  <si>
    <t>Salário</t>
  </si>
  <si>
    <t>Rendimento carteira</t>
  </si>
  <si>
    <t>Sugestão de investimento</t>
  </si>
  <si>
    <t>PERFIL</t>
  </si>
  <si>
    <t>Moderado</t>
  </si>
  <si>
    <t>PERFIL:</t>
  </si>
  <si>
    <t>Tipo de FII</t>
  </si>
  <si>
    <t>% sugerido</t>
  </si>
  <si>
    <t>Valores</t>
  </si>
  <si>
    <t>FOFs</t>
  </si>
  <si>
    <t>Valor mensal a ser investido</t>
  </si>
  <si>
    <t>TIPO DE FII</t>
  </si>
  <si>
    <t>%</t>
  </si>
  <si>
    <t>Conservador</t>
  </si>
  <si>
    <t>PAPEL</t>
  </si>
  <si>
    <t>TIJOLO</t>
  </si>
  <si>
    <t>HÍBRIDOS</t>
  </si>
  <si>
    <t>DESENVOLVIMENTO</t>
  </si>
  <si>
    <t>HOTELARIAS</t>
  </si>
  <si>
    <t>Agressivo</t>
  </si>
  <si>
    <t>CHAVE COMPOSTA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</si>
</sst>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5" formatCode="0.000%"/>
    <numFmt numFmtId="167" formatCode="&quot;R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Segoe UI"/>
      <family val="2"/>
    </font>
    <font>
      <i/>
      <sz val="10"/>
      <color theme="1"/>
      <name val="Segoe UI"/>
      <family val="2"/>
    </font>
    <font>
      <b/>
      <sz val="10"/>
      <color theme="0"/>
      <name val="Segoe UI"/>
      <family val="2"/>
    </font>
    <font>
      <sz val="10"/>
      <color theme="0" tint="-0.249977111117893"/>
      <name val="Segoe UI"/>
      <family val="2"/>
    </font>
    <font>
      <b/>
      <sz val="10"/>
      <color theme="1"/>
      <name val="Segoe UI"/>
      <family val="2"/>
    </font>
    <font>
      <b/>
      <i/>
      <sz val="8"/>
      <color theme="1"/>
      <name val="Segoe UI"/>
      <family val="2"/>
    </font>
    <font>
      <b/>
      <i/>
      <sz val="8"/>
      <color theme="1"/>
      <name val="Calibri"/>
      <family val="2"/>
      <scheme val="minor"/>
    </font>
    <font>
      <sz val="8"/>
      <color theme="1"/>
      <name val="Segoe UI"/>
      <family val="2"/>
    </font>
    <font>
      <b/>
      <sz val="10"/>
      <color theme="7" tint="-0.499984740745262"/>
      <name val="Segoe UI"/>
      <family val="2"/>
    </font>
    <font>
      <sz val="10"/>
      <color theme="7" tint="-0.499984740745262"/>
      <name val="Segoe UI"/>
      <family val="2"/>
    </font>
    <font>
      <b/>
      <sz val="8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0" fontId="5" fillId="3" borderId="0" xfId="0" applyFont="1" applyFill="1" applyAlignment="1">
      <alignment horizontal="center"/>
    </xf>
    <xf numFmtId="167" fontId="3" fillId="4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/>
    </xf>
    <xf numFmtId="167" fontId="3" fillId="4" borderId="1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165" fontId="3" fillId="4" borderId="2" xfId="1" applyNumberFormat="1" applyFont="1" applyFill="1" applyBorder="1" applyAlignment="1">
      <alignment horizontal="center"/>
    </xf>
    <xf numFmtId="8" fontId="4" fillId="2" borderId="2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center"/>
    </xf>
    <xf numFmtId="167" fontId="3" fillId="4" borderId="1" xfId="0" applyNumberFormat="1" applyFont="1" applyFill="1" applyBorder="1" applyAlignment="1"/>
    <xf numFmtId="0" fontId="3" fillId="4" borderId="2" xfId="0" applyFont="1" applyFill="1" applyBorder="1" applyAlignment="1"/>
    <xf numFmtId="9" fontId="3" fillId="4" borderId="2" xfId="1" applyNumberFormat="1" applyFont="1" applyFill="1" applyBorder="1" applyAlignment="1">
      <alignment horizontal="center"/>
    </xf>
    <xf numFmtId="10" fontId="3" fillId="4" borderId="2" xfId="1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 vertical="center" wrapText="1"/>
    </xf>
    <xf numFmtId="167" fontId="8" fillId="8" borderId="1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6" fillId="5" borderId="2" xfId="0" applyFont="1" applyFill="1" applyBorder="1" applyAlignment="1">
      <alignment horizontal="left" indent="2"/>
    </xf>
    <xf numFmtId="8" fontId="10" fillId="5" borderId="2" xfId="0" applyNumberFormat="1" applyFont="1" applyFill="1" applyBorder="1" applyAlignment="1">
      <alignment horizontal="center"/>
    </xf>
    <xf numFmtId="167" fontId="3" fillId="9" borderId="2" xfId="1" applyNumberFormat="1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167" fontId="13" fillId="11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12" borderId="0" xfId="0" applyFont="1" applyFill="1"/>
    <xf numFmtId="0" fontId="3" fillId="12" borderId="0" xfId="0" applyFont="1" applyFill="1" applyAlignment="1">
      <alignment horizontal="right"/>
    </xf>
    <xf numFmtId="0" fontId="10" fillId="4" borderId="1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left" vertical="center" indent="2"/>
    </xf>
    <xf numFmtId="0" fontId="3" fillId="5" borderId="2" xfId="0" applyFont="1" applyFill="1" applyBorder="1" applyAlignment="1">
      <alignment horizontal="left" vertical="center" indent="2"/>
    </xf>
    <xf numFmtId="0" fontId="10" fillId="11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left" vertical="center" indent="2"/>
    </xf>
    <xf numFmtId="0" fontId="10" fillId="0" borderId="0" xfId="0" applyFont="1" applyAlignment="1">
      <alignment horizontal="left" vertical="center" indent="2"/>
    </xf>
    <xf numFmtId="9" fontId="10" fillId="0" borderId="1" xfId="1" applyFont="1" applyBorder="1" applyAlignment="1">
      <alignment horizontal="center" vertical="center"/>
    </xf>
    <xf numFmtId="167" fontId="14" fillId="0" borderId="1" xfId="0" applyNumberFormat="1" applyFont="1" applyBorder="1" applyAlignment="1">
      <alignment horizontal="center" vertical="center"/>
    </xf>
    <xf numFmtId="167" fontId="14" fillId="0" borderId="0" xfId="0" applyNumberFormat="1" applyFont="1" applyBorder="1" applyAlignment="1">
      <alignment horizontal="center" vertical="center"/>
    </xf>
    <xf numFmtId="167" fontId="14" fillId="0" borderId="2" xfId="0" applyNumberFormat="1" applyFont="1" applyBorder="1" applyAlignment="1">
      <alignment horizontal="center" vertical="center"/>
    </xf>
    <xf numFmtId="167" fontId="15" fillId="12" borderId="0" xfId="0" applyNumberFormat="1" applyFont="1" applyFill="1" applyAlignment="1">
      <alignment horizontal="center"/>
    </xf>
    <xf numFmtId="0" fontId="2" fillId="13" borderId="0" xfId="0" applyFont="1" applyFill="1"/>
    <xf numFmtId="0" fontId="2" fillId="13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4" xfId="0" applyBorder="1"/>
    <xf numFmtId="9" fontId="0" fillId="0" borderId="4" xfId="0" applyNumberFormat="1" applyBorder="1" applyAlignment="1">
      <alignment horizontal="center"/>
    </xf>
    <xf numFmtId="0" fontId="0" fillId="0" borderId="0" xfId="0" applyFill="1"/>
    <xf numFmtId="9" fontId="0" fillId="0" borderId="0" xfId="0" applyNumberFormat="1" applyFill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Fill="1" applyAlignment="1">
      <alignment horizontal="left"/>
    </xf>
    <xf numFmtId="9" fontId="0" fillId="0" borderId="4" xfId="0" applyNumberFormat="1" applyBorder="1" applyAlignment="1">
      <alignment horizontal="left"/>
    </xf>
    <xf numFmtId="9" fontId="10" fillId="0" borderId="0" xfId="1" applyFont="1" applyBorder="1" applyAlignment="1">
      <alignment horizontal="center" vertical="center"/>
    </xf>
    <xf numFmtId="9" fontId="10" fillId="0" borderId="3" xfId="1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4"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CONTROLE!$B$30:$B$35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CONTROLE!$C$30:$C$35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B-42E7-9442-95E4BBB5BBB1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CONTROLE!$B$30:$B$35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CONTROLE!$D$30:$D$35</c:f>
              <c:numCache>
                <c:formatCode>"R$"\ #,##0.00</c:formatCode>
                <c:ptCount val="6"/>
                <c:pt idx="0">
                  <c:v>60</c:v>
                </c:pt>
                <c:pt idx="1">
                  <c:v>100</c:v>
                </c:pt>
                <c:pt idx="2">
                  <c:v>20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B-42E7-9442-95E4BBB5BBB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171451</xdr:rowOff>
    </xdr:from>
    <xdr:to>
      <xdr:col>4</xdr:col>
      <xdr:colOff>16565</xdr:colOff>
      <xdr:row>3</xdr:row>
      <xdr:rowOff>13139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FA47C37B-7D0B-2F35-5CC2-5B24C9A81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914" y="171451"/>
          <a:ext cx="3371021" cy="413188"/>
        </a:xfrm>
        <a:prstGeom prst="rect">
          <a:avLst/>
        </a:prstGeom>
      </xdr:spPr>
    </xdr:pic>
    <xdr:clientData/>
  </xdr:twoCellAnchor>
  <xdr:twoCellAnchor>
    <xdr:from>
      <xdr:col>0</xdr:col>
      <xdr:colOff>347869</xdr:colOff>
      <xdr:row>36</xdr:row>
      <xdr:rowOff>160683</xdr:rowOff>
    </xdr:from>
    <xdr:to>
      <xdr:col>4</xdr:col>
      <xdr:colOff>24847</xdr:colOff>
      <xdr:row>47</xdr:row>
      <xdr:rowOff>74544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01E2461-87FE-41B5-CBF1-5F7E2A0926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9AE2-A4BB-4322-82F9-BE69C7D8827D}">
  <dimension ref="B1:D49"/>
  <sheetViews>
    <sheetView showGridLines="0" tabSelected="1" zoomScale="115" zoomScaleNormal="115" workbookViewId="0">
      <selection activeCell="C26" sqref="C26:D26"/>
    </sheetView>
  </sheetViews>
  <sheetFormatPr defaultColWidth="0" defaultRowHeight="15" zeroHeight="1" x14ac:dyDescent="0.25"/>
  <cols>
    <col min="1" max="1" width="5.7109375" customWidth="1"/>
    <col min="2" max="2" width="21" style="1" customWidth="1"/>
    <col min="3" max="3" width="15" style="4" customWidth="1"/>
    <col min="4" max="4" width="14.28515625" customWidth="1"/>
    <col min="5" max="5" width="5.7109375" customWidth="1"/>
    <col min="6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>
      <c r="B5" s="9" t="s">
        <v>10</v>
      </c>
      <c r="C5" s="9"/>
      <c r="D5" s="9"/>
    </row>
    <row r="6" spans="2:4" x14ac:dyDescent="0.25">
      <c r="B6" s="26" t="s">
        <v>11</v>
      </c>
      <c r="C6" s="10"/>
      <c r="D6" s="3">
        <v>2000</v>
      </c>
    </row>
    <row r="7" spans="2:4" x14ac:dyDescent="0.25">
      <c r="B7" s="27" t="s">
        <v>12</v>
      </c>
      <c r="C7" s="11"/>
      <c r="D7" s="13">
        <v>6.0000000000000001E-3</v>
      </c>
    </row>
    <row r="8" spans="2:4" x14ac:dyDescent="0.25">
      <c r="B8" s="27" t="s">
        <v>13</v>
      </c>
      <c r="C8" s="12">
        <v>0.3</v>
      </c>
      <c r="D8" s="19">
        <f>D6*C8</f>
        <v>600</v>
      </c>
    </row>
    <row r="9" spans="2:4" x14ac:dyDescent="0.25"/>
    <row r="10" spans="2:4" x14ac:dyDescent="0.25">
      <c r="B10" s="2" t="s">
        <v>2</v>
      </c>
      <c r="C10" s="2"/>
      <c r="D10" s="2"/>
    </row>
    <row r="11" spans="2:4" x14ac:dyDescent="0.25">
      <c r="B11" s="26" t="s">
        <v>5</v>
      </c>
      <c r="C11" s="5">
        <v>200</v>
      </c>
      <c r="D11" s="5"/>
    </row>
    <row r="12" spans="2:4" x14ac:dyDescent="0.25">
      <c r="B12" s="27" t="s">
        <v>3</v>
      </c>
      <c r="C12" s="6">
        <v>60</v>
      </c>
      <c r="D12" s="6"/>
    </row>
    <row r="13" spans="2:4" x14ac:dyDescent="0.25">
      <c r="B13" s="27" t="s">
        <v>4</v>
      </c>
      <c r="C13" s="7">
        <v>1.0789999999999999E-2</v>
      </c>
      <c r="D13" s="7"/>
    </row>
    <row r="14" spans="2:4" x14ac:dyDescent="0.25">
      <c r="B14" s="28" t="s">
        <v>0</v>
      </c>
      <c r="C14" s="8">
        <f>FV(C13,C12,-C11)</f>
        <v>16755.382799697527</v>
      </c>
      <c r="D14" s="8"/>
    </row>
    <row r="15" spans="2:4" x14ac:dyDescent="0.25">
      <c r="B15" s="28" t="s">
        <v>1</v>
      </c>
      <c r="C15" s="8">
        <f>C14*C13</f>
        <v>180.7905804087363</v>
      </c>
      <c r="D15" s="8"/>
    </row>
    <row r="16" spans="2:4" x14ac:dyDescent="0.25"/>
    <row r="17" spans="2:4" x14ac:dyDescent="0.25">
      <c r="B17" s="2" t="s">
        <v>8</v>
      </c>
      <c r="C17" s="2"/>
      <c r="D17" s="2"/>
    </row>
    <row r="18" spans="2:4" ht="21" x14ac:dyDescent="0.25">
      <c r="B18" s="14" t="s">
        <v>6</v>
      </c>
      <c r="C18" s="15" t="s">
        <v>0</v>
      </c>
      <c r="D18" s="16" t="s">
        <v>9</v>
      </c>
    </row>
    <row r="19" spans="2:4" x14ac:dyDescent="0.25">
      <c r="B19" s="29">
        <v>2</v>
      </c>
      <c r="C19" s="18">
        <f>FV($C$13,B19*12,-$C$11)</f>
        <v>5445.5254595290435</v>
      </c>
      <c r="D19" s="18">
        <f>C19*rend_carteira</f>
        <v>32.673152757174265</v>
      </c>
    </row>
    <row r="20" spans="2:4" x14ac:dyDescent="0.25">
      <c r="B20" s="29">
        <v>5</v>
      </c>
      <c r="C20" s="18">
        <f t="shared" ref="C20:C24" si="0">FV($C$13,B20*12,-$C$11)</f>
        <v>16755.382799697527</v>
      </c>
      <c r="D20" s="18">
        <f>C20*rend_carteira</f>
        <v>100.53229679818516</v>
      </c>
    </row>
    <row r="21" spans="2:4" x14ac:dyDescent="0.25">
      <c r="B21" s="29">
        <v>10</v>
      </c>
      <c r="C21" s="18">
        <f t="shared" si="0"/>
        <v>48656.842506034438</v>
      </c>
      <c r="D21" s="18">
        <f>C21*rend_carteira</f>
        <v>291.94105503620665</v>
      </c>
    </row>
    <row r="22" spans="2:4" x14ac:dyDescent="0.25">
      <c r="B22" s="29">
        <v>20</v>
      </c>
      <c r="C22" s="18">
        <f t="shared" si="0"/>
        <v>225039.68001941612</v>
      </c>
      <c r="D22" s="18">
        <f>C22*rend_carteira</f>
        <v>1350.2380801164968</v>
      </c>
    </row>
    <row r="23" spans="2:4" x14ac:dyDescent="0.25">
      <c r="B23" s="29">
        <v>30</v>
      </c>
      <c r="C23" s="18">
        <f t="shared" si="0"/>
        <v>864433.93100094295</v>
      </c>
      <c r="D23" s="18">
        <f>C23*rend_carteira</f>
        <v>5186.6035860056581</v>
      </c>
    </row>
    <row r="24" spans="2:4" x14ac:dyDescent="0.25">
      <c r="B24" s="17" t="s">
        <v>7</v>
      </c>
      <c r="C24" s="18" t="e">
        <f t="shared" si="0"/>
        <v>#VALUE!</v>
      </c>
      <c r="D24" s="18" t="e">
        <f>C24*rend_carteira</f>
        <v>#VALUE!</v>
      </c>
    </row>
    <row r="25" spans="2:4" x14ac:dyDescent="0.25"/>
    <row r="26" spans="2:4" x14ac:dyDescent="0.25">
      <c r="B26" s="21" t="s">
        <v>16</v>
      </c>
      <c r="C26" s="20" t="s">
        <v>24</v>
      </c>
      <c r="D26" s="20"/>
    </row>
    <row r="27" spans="2:4" x14ac:dyDescent="0.25">
      <c r="B27" s="30" t="s">
        <v>21</v>
      </c>
      <c r="C27" s="22">
        <f>aporte_mensal</f>
        <v>200</v>
      </c>
      <c r="D27" s="22"/>
    </row>
    <row r="28" spans="2:4" x14ac:dyDescent="0.25"/>
    <row r="29" spans="2:4" x14ac:dyDescent="0.25">
      <c r="B29" s="23" t="s">
        <v>17</v>
      </c>
      <c r="C29" s="23" t="s">
        <v>18</v>
      </c>
      <c r="D29" s="23" t="s">
        <v>19</v>
      </c>
    </row>
    <row r="30" spans="2:4" x14ac:dyDescent="0.25">
      <c r="B30" s="31" t="s">
        <v>25</v>
      </c>
      <c r="C30" s="33">
        <f>VLOOKUP($C$26&amp;"-"&amp;B30,APOIO!A3:D21,4,FALSE)</f>
        <v>0.3</v>
      </c>
      <c r="D30" s="34">
        <f>$C$27*C30</f>
        <v>60</v>
      </c>
    </row>
    <row r="31" spans="2:4" x14ac:dyDescent="0.25">
      <c r="B31" s="31" t="s">
        <v>26</v>
      </c>
      <c r="C31" s="33">
        <f>VLOOKUP($C$26&amp;"-"&amp;B31,APOIO!A4:D22,4,FALSE)</f>
        <v>0.5</v>
      </c>
      <c r="D31" s="34">
        <f t="shared" ref="D31:D35" si="1">$C$27*C31</f>
        <v>100</v>
      </c>
    </row>
    <row r="32" spans="2:4" x14ac:dyDescent="0.25">
      <c r="B32" s="31" t="s">
        <v>27</v>
      </c>
      <c r="C32" s="33">
        <f>VLOOKUP($C$26&amp;"-"&amp;B32,APOIO!A5:D23,4,FALSE)</f>
        <v>0.1</v>
      </c>
      <c r="D32" s="34">
        <f t="shared" si="1"/>
        <v>20</v>
      </c>
    </row>
    <row r="33" spans="2:4" x14ac:dyDescent="0.25">
      <c r="B33" s="31" t="s">
        <v>20</v>
      </c>
      <c r="C33" s="33">
        <f>VLOOKUP($C$26&amp;"-"&amp;B33,APOIO!A6:D24,4,FALSE)</f>
        <v>0.1</v>
      </c>
      <c r="D33" s="34">
        <f t="shared" si="1"/>
        <v>20</v>
      </c>
    </row>
    <row r="34" spans="2:4" x14ac:dyDescent="0.25">
      <c r="B34" s="31" t="s">
        <v>28</v>
      </c>
      <c r="C34" s="49">
        <f>VLOOKUP($C$26&amp;"-"&amp;B34,APOIO!A7:D25,4,FALSE)</f>
        <v>0</v>
      </c>
      <c r="D34" s="36">
        <f t="shared" si="1"/>
        <v>0</v>
      </c>
    </row>
    <row r="35" spans="2:4" x14ac:dyDescent="0.25">
      <c r="B35" s="32" t="s">
        <v>29</v>
      </c>
      <c r="C35" s="50">
        <f>VLOOKUP($C$26&amp;"-"&amp;B35,APOIO!A8:D26,4,FALSE)</f>
        <v>0</v>
      </c>
      <c r="D35" s="35">
        <f t="shared" si="1"/>
        <v>0</v>
      </c>
    </row>
    <row r="36" spans="2:4" x14ac:dyDescent="0.25">
      <c r="B36" s="24"/>
      <c r="C36" s="25"/>
      <c r="D36" s="37">
        <f>SUM(D30:D35)</f>
        <v>200</v>
      </c>
    </row>
    <row r="37" spans="2:4" x14ac:dyDescent="0.25"/>
    <row r="38" spans="2:4" x14ac:dyDescent="0.25"/>
    <row r="39" spans="2:4" x14ac:dyDescent="0.25"/>
    <row r="40" spans="2:4" x14ac:dyDescent="0.25"/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x14ac:dyDescent="0.25"/>
  </sheetData>
  <mergeCells count="10">
    <mergeCell ref="B5:D5"/>
    <mergeCell ref="C26:D26"/>
    <mergeCell ref="C27:D27"/>
    <mergeCell ref="B17:D17"/>
    <mergeCell ref="B10:D10"/>
    <mergeCell ref="C11:D11"/>
    <mergeCell ref="C12:D12"/>
    <mergeCell ref="C13:D13"/>
    <mergeCell ref="C14:D14"/>
    <mergeCell ref="C15:D15"/>
  </mergeCells>
  <conditionalFormatting sqref="C14:C15">
    <cfRule type="cellIs" dxfId="3" priority="3" operator="lessThan">
      <formula>0</formula>
    </cfRule>
    <cfRule type="cellIs" dxfId="2" priority="4" operator="greaterThan">
      <formula>0</formula>
    </cfRule>
  </conditionalFormatting>
  <dataValidations count="1">
    <dataValidation type="list" allowBlank="1" showInputMessage="1" showErrorMessage="1" sqref="C26:D26" xr:uid="{694C3539-F20B-4CFE-ABD7-957BAB70A8A4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3B3D-3ADF-403F-A70E-79C6845763D2}">
  <dimension ref="A3:D21"/>
  <sheetViews>
    <sheetView workbookViewId="0">
      <selection activeCell="A35" sqref="A35"/>
    </sheetView>
  </sheetViews>
  <sheetFormatPr defaultRowHeight="15" x14ac:dyDescent="0.25"/>
  <cols>
    <col min="1" max="1" width="32.5703125" customWidth="1"/>
    <col min="2" max="2" width="14.28515625" customWidth="1"/>
    <col min="3" max="3" width="19" bestFit="1" customWidth="1"/>
    <col min="4" max="4" width="9.140625" customWidth="1"/>
  </cols>
  <sheetData>
    <row r="3" spans="1:4" x14ac:dyDescent="0.25">
      <c r="A3" s="39" t="s">
        <v>31</v>
      </c>
      <c r="B3" s="38" t="s">
        <v>14</v>
      </c>
      <c r="C3" s="39" t="s">
        <v>22</v>
      </c>
      <c r="D3" s="39" t="s">
        <v>23</v>
      </c>
    </row>
    <row r="4" spans="1:4" x14ac:dyDescent="0.25">
      <c r="A4" s="45" t="str">
        <f>B4&amp;"-"&amp;C4</f>
        <v>Conservador-PAPEL</v>
      </c>
      <c r="B4" t="s">
        <v>24</v>
      </c>
      <c r="C4" s="45" t="s">
        <v>25</v>
      </c>
      <c r="D4" s="40">
        <v>0.3</v>
      </c>
    </row>
    <row r="5" spans="1:4" x14ac:dyDescent="0.25">
      <c r="A5" s="45" t="str">
        <f>B5&amp;"-"&amp;C5</f>
        <v>Conservador-TIJOLO</v>
      </c>
      <c r="B5" t="s">
        <v>24</v>
      </c>
      <c r="C5" s="45" t="s">
        <v>26</v>
      </c>
      <c r="D5" s="40">
        <v>0.5</v>
      </c>
    </row>
    <row r="6" spans="1:4" x14ac:dyDescent="0.25">
      <c r="A6" s="45" t="str">
        <f>B6&amp;"-"&amp;C6</f>
        <v>Conservador-HÍBRIDOS</v>
      </c>
      <c r="B6" t="s">
        <v>24</v>
      </c>
      <c r="C6" s="45" t="s">
        <v>27</v>
      </c>
      <c r="D6" s="40">
        <v>0.1</v>
      </c>
    </row>
    <row r="7" spans="1:4" x14ac:dyDescent="0.25">
      <c r="A7" s="45" t="str">
        <f>B7&amp;"-"&amp;C7</f>
        <v>Conservador-FOFs</v>
      </c>
      <c r="B7" t="s">
        <v>24</v>
      </c>
      <c r="C7" s="45" t="s">
        <v>20</v>
      </c>
      <c r="D7" s="40">
        <v>0.1</v>
      </c>
    </row>
    <row r="8" spans="1:4" x14ac:dyDescent="0.25">
      <c r="A8" s="45" t="str">
        <f>B8&amp;"-"&amp;C8</f>
        <v>Conservador-DESENVOLVIMENTO</v>
      </c>
      <c r="B8" t="s">
        <v>24</v>
      </c>
      <c r="C8" s="45" t="s">
        <v>28</v>
      </c>
      <c r="D8" s="40">
        <v>0</v>
      </c>
    </row>
    <row r="9" spans="1:4" ht="15.75" thickBot="1" x14ac:dyDescent="0.3">
      <c r="A9" s="48" t="str">
        <f>B9&amp;"-"&amp;C9</f>
        <v>Conservador-HOTELARIAS</v>
      </c>
      <c r="B9" s="41" t="s">
        <v>24</v>
      </c>
      <c r="C9" s="46" t="s">
        <v>29</v>
      </c>
      <c r="D9" s="42">
        <v>0</v>
      </c>
    </row>
    <row r="10" spans="1:4" x14ac:dyDescent="0.25">
      <c r="A10" s="45" t="str">
        <f>B10&amp;"-"&amp;C10</f>
        <v>Moderado-PAPEL</v>
      </c>
      <c r="B10" t="s">
        <v>15</v>
      </c>
      <c r="C10" s="45" t="s">
        <v>25</v>
      </c>
      <c r="D10" s="40">
        <v>0.32</v>
      </c>
    </row>
    <row r="11" spans="1:4" x14ac:dyDescent="0.25">
      <c r="A11" s="45" t="str">
        <f>B11&amp;"-"&amp;C11</f>
        <v>Moderado-TIJOLO</v>
      </c>
      <c r="B11" s="43" t="s">
        <v>15</v>
      </c>
      <c r="C11" s="47" t="s">
        <v>26</v>
      </c>
      <c r="D11" s="44">
        <v>0.35</v>
      </c>
    </row>
    <row r="12" spans="1:4" x14ac:dyDescent="0.25">
      <c r="A12" s="45" t="str">
        <f>B12&amp;"-"&amp;C12</f>
        <v>Moderado-HÍBRIDOS</v>
      </c>
      <c r="B12" t="s">
        <v>15</v>
      </c>
      <c r="C12" s="45" t="s">
        <v>27</v>
      </c>
      <c r="D12" s="40">
        <v>0.08</v>
      </c>
    </row>
    <row r="13" spans="1:4" x14ac:dyDescent="0.25">
      <c r="A13" s="45" t="str">
        <f>B13&amp;"-"&amp;C13</f>
        <v>Moderado-FOFs</v>
      </c>
      <c r="B13" t="s">
        <v>15</v>
      </c>
      <c r="C13" s="45" t="s">
        <v>20</v>
      </c>
      <c r="D13" s="40">
        <v>0.05</v>
      </c>
    </row>
    <row r="14" spans="1:4" x14ac:dyDescent="0.25">
      <c r="A14" s="45" t="str">
        <f>B14&amp;"-"&amp;C14</f>
        <v>Moderado-DESENVOLVIMENTO</v>
      </c>
      <c r="B14" t="s">
        <v>15</v>
      </c>
      <c r="C14" s="45" t="s">
        <v>28</v>
      </c>
      <c r="D14" s="40">
        <v>0.1</v>
      </c>
    </row>
    <row r="15" spans="1:4" ht="15.75" thickBot="1" x14ac:dyDescent="0.3">
      <c r="A15" s="48" t="str">
        <f>B15&amp;"-"&amp;C15</f>
        <v>Moderado-HOTELARIAS</v>
      </c>
      <c r="B15" s="41" t="s">
        <v>15</v>
      </c>
      <c r="C15" s="46" t="s">
        <v>29</v>
      </c>
      <c r="D15" s="42">
        <v>0.1</v>
      </c>
    </row>
    <row r="16" spans="1:4" x14ac:dyDescent="0.25">
      <c r="A16" s="45" t="str">
        <f>B16&amp;"-"&amp;C16</f>
        <v>Agressivo-PAPEL</v>
      </c>
      <c r="B16" t="s">
        <v>30</v>
      </c>
      <c r="C16" s="45" t="s">
        <v>25</v>
      </c>
      <c r="D16" s="40">
        <v>0.5</v>
      </c>
    </row>
    <row r="17" spans="1:4" x14ac:dyDescent="0.25">
      <c r="A17" s="45" t="str">
        <f>B17&amp;"-"&amp;C17</f>
        <v>Agressivo-TIJOLO</v>
      </c>
      <c r="B17" t="s">
        <v>30</v>
      </c>
      <c r="C17" s="45" t="s">
        <v>26</v>
      </c>
      <c r="D17" s="40">
        <v>0.1</v>
      </c>
    </row>
    <row r="18" spans="1:4" x14ac:dyDescent="0.25">
      <c r="A18" s="45" t="str">
        <f>B18&amp;"-"&amp;C18</f>
        <v>Agressivo-HÍBRIDOS</v>
      </c>
      <c r="B18" t="s">
        <v>30</v>
      </c>
      <c r="C18" s="45" t="s">
        <v>27</v>
      </c>
      <c r="D18" s="40">
        <v>0.05</v>
      </c>
    </row>
    <row r="19" spans="1:4" x14ac:dyDescent="0.25">
      <c r="A19" s="45" t="str">
        <f>B19&amp;"-"&amp;C19</f>
        <v>Agressivo-FOFs</v>
      </c>
      <c r="B19" t="s">
        <v>30</v>
      </c>
      <c r="C19" s="45" t="s">
        <v>20</v>
      </c>
      <c r="D19" s="40">
        <v>0.05</v>
      </c>
    </row>
    <row r="20" spans="1:4" x14ac:dyDescent="0.25">
      <c r="A20" s="45" t="str">
        <f>B20&amp;"-"&amp;C20</f>
        <v>Agressivo-DESENVOLVIMENTO</v>
      </c>
      <c r="B20" t="s">
        <v>30</v>
      </c>
      <c r="C20" s="45" t="s">
        <v>28</v>
      </c>
      <c r="D20" s="40">
        <v>0.2</v>
      </c>
    </row>
    <row r="21" spans="1:4" x14ac:dyDescent="0.25">
      <c r="A21" s="45" t="str">
        <f>B21&amp;"-"&amp;C21</f>
        <v>Agressivo-HOTELARIAS</v>
      </c>
      <c r="B21" t="s">
        <v>30</v>
      </c>
      <c r="C21" s="45" t="s">
        <v>29</v>
      </c>
      <c r="D21" s="40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CONTROLE</vt:lpstr>
      <vt:lpstr>APOIO</vt:lpstr>
      <vt:lpstr>aporte_mensal</vt:lpstr>
      <vt:lpstr>patrimonio</vt:lpstr>
      <vt:lpstr>qd_meses</vt:lpstr>
      <vt:lpstr>rend_carteira</vt:lpstr>
      <vt:lpstr>salario</vt:lpstr>
      <vt:lpstr>sug_invest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Erico Soares</dc:creator>
  <cp:lastModifiedBy>Erico Soares</cp:lastModifiedBy>
  <dcterms:created xsi:type="dcterms:W3CDTF">2026-01-13T11:33:26Z</dcterms:created>
  <dcterms:modified xsi:type="dcterms:W3CDTF">2026-01-13T12:25:13Z</dcterms:modified>
</cp:coreProperties>
</file>